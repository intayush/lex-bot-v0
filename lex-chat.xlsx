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<sst xmlns="http://schemas.openxmlformats.org/spreadsheetml/2006/main" count="117" uniqueCount="88">
  <si>
    <t>Car Accident Lawyer</t>
  </si>
  <si>
    <t>Hot Lead</t>
  </si>
  <si>
    <t>Warm</t>
  </si>
  <si>
    <t>Cold</t>
  </si>
  <si>
    <t>Spam/Invalid/No Contact Info</t>
  </si>
  <si>
    <t>Lead Score = Sum of all question scores</t>
  </si>
  <si>
    <t>Final Lead Score</t>
  </si>
  <si>
    <t>Lead Score</t>
  </si>
  <si>
    <t>Classification</t>
  </si>
  <si>
    <t>Override?</t>
  </si>
  <si>
    <t>Score</t>
  </si>
  <si>
    <t>Myself</t>
  </si>
  <si>
    <t>76-100</t>
  </si>
  <si>
    <t>HOT</t>
  </si>
  <si>
    <t>Case Value Score</t>
  </si>
  <si>
    <t>51-75</t>
  </si>
  <si>
    <t>WARM</t>
  </si>
  <si>
    <t>Urgency Score</t>
  </si>
  <si>
    <t>26-50</t>
  </si>
  <si>
    <t>COLD</t>
  </si>
  <si>
    <t>0-25</t>
  </si>
  <si>
    <t>SPAM / INVALID</t>
  </si>
  <si>
    <t>Case Value (Car accident)</t>
  </si>
  <si>
    <t>Family/friend</t>
  </si>
  <si>
    <t>Potential Case Value (Range)
Injury Severity (0–40)
Liability (0–25)
Lost Wages (0–15)
Medical Treatment (0–10)
Evidence (0–10)</t>
  </si>
  <si>
    <t>26-75</t>
  </si>
  <si>
    <t>QA (Separate Metadata (Not Scored))</t>
  </si>
  <si>
    <t>Are you asking for yourself or a friend/family member?</t>
  </si>
  <si>
    <t>Urgency Score
Accident Timing
Insurance Pressure
Serious Injury
No Lawyer</t>
  </si>
  <si>
    <t>Friend / Family Member</t>
  </si>
  <si>
    <t>QB (Separate Metadata (Not Scored))</t>
  </si>
  <si>
    <t>Did the accident happen in or near {{Firm Service Area}}?</t>
  </si>
  <si>
    <t>Yes</t>
  </si>
  <si>
    <t>No</t>
  </si>
  <si>
    <t>Where did the accident happen?</t>
  </si>
  <si>
    <t>City</t>
  </si>
  <si>
    <t>State</t>
  </si>
  <si>
    <t>All questions below are lead scoring</t>
  </si>
  <si>
    <t>Q1</t>
  </si>
  <si>
    <t>When did the accident happen?</t>
  </si>
  <si>
    <t>Answer</t>
  </si>
  <si>
    <t>Today</t>
  </si>
  <si>
    <t>Within Last 7 Days</t>
  </si>
  <si>
    <t>Within Last 30 Days</t>
  </si>
  <si>
    <t>Within Last 6 Months</t>
  </si>
  <si>
    <t>More Than 6 Months Ago</t>
  </si>
  <si>
    <t>I Don't Know</t>
  </si>
  <si>
    <t>Q2</t>
  </si>
  <si>
    <t>Were you (or they) injured?</t>
  </si>
  <si>
    <t>Still Being Evaluated</t>
  </si>
  <si>
    <t>Not Sure Yet</t>
  </si>
  <si>
    <t>Q3</t>
  </si>
  <si>
    <t>What medical treatment was received?</t>
  </si>
  <si>
    <t>Surgery</t>
  </si>
  <si>
    <t>Hospitalization</t>
  </si>
  <si>
    <t>Emergency Room Visit</t>
  </si>
  <si>
    <t>Doctor Visit</t>
  </si>
  <si>
    <t>Physical Therapy / Chiropractor</t>
  </si>
  <si>
    <t>No Treatment Yet</t>
  </si>
  <si>
    <t>No Treatment</t>
  </si>
  <si>
    <t>Q4</t>
  </si>
  <si>
    <t>Were you (or they) a:</t>
  </si>
  <si>
    <t>Passenger</t>
  </si>
  <si>
    <t>Pedestrian</t>
  </si>
  <si>
    <t>Driver</t>
  </si>
  <si>
    <t>Q5</t>
  </si>
  <si>
    <t>Has an insurance company contacted you (or them)?</t>
  </si>
  <si>
    <t>Requested Recorded Statement</t>
  </si>
  <si>
    <t>Offered Settlement</t>
  </si>
  <si>
    <t>Asked To Sign Documents</t>
  </si>
  <si>
    <t>Contacted Me</t>
  </si>
  <si>
    <t>Not Yet</t>
  </si>
  <si>
    <t>Q6</t>
  </si>
  <si>
    <t>Has the accident affected your (or their) ability to work?</t>
  </si>
  <si>
    <t>Unable To Work</t>
  </si>
  <si>
    <t>Missed Work</t>
  </si>
  <si>
    <t>No Impact</t>
  </si>
  <si>
    <t>Not Applicable</t>
  </si>
  <si>
    <t>Q7</t>
  </si>
  <si>
    <t>Do you currently have a lawyer?</t>
  </si>
  <si>
    <t>Spoke With Lawyers, Haven't Signed Yet</t>
  </si>
  <si>
    <t>Signed With Lawyer But Want To Change Lawyers</t>
  </si>
  <si>
    <t>Yes, I Have A Lawyer</t>
  </si>
  <si>
    <t>Q8</t>
  </si>
  <si>
    <t>what is the best phone number and email for us to reach you?</t>
  </si>
  <si>
    <t>Valid Phone Number</t>
  </si>
  <si>
    <t>Valid Email</t>
  </si>
  <si>
    <t>Missing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</si>
</sst>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FFFFFF"/>
      <name val="-apple-system-body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40.0"/>
    <col customWidth="1" min="3" max="3" width="25.63"/>
    <col customWidth="1" min="4" max="4" width="20.63"/>
    <col customWidth="1" min="5" max="5" width="26.6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/>
      <c r="B2" s="1" t="s">
        <v>5</v>
      </c>
      <c r="H2" s="1" t="s">
        <v>6</v>
      </c>
    </row>
    <row r="3">
      <c r="A3" s="2"/>
      <c r="B3" s="2" t="s">
        <v>7</v>
      </c>
      <c r="C3" s="2" t="s">
        <v>8</v>
      </c>
      <c r="D3" s="1" t="s">
        <v>9</v>
      </c>
      <c r="H3" s="1" t="s">
        <v>10</v>
      </c>
    </row>
    <row r="4">
      <c r="A4" s="1" t="s">
        <v>11</v>
      </c>
      <c r="B4" s="1" t="s">
        <v>12</v>
      </c>
      <c r="C4" s="1" t="s">
        <v>13</v>
      </c>
      <c r="H4" s="1" t="s">
        <v>14</v>
      </c>
    </row>
    <row r="5">
      <c r="B5" s="1" t="s">
        <v>15</v>
      </c>
      <c r="C5" s="1" t="s">
        <v>16</v>
      </c>
      <c r="H5" s="1" t="s">
        <v>17</v>
      </c>
    </row>
    <row r="6">
      <c r="B6" s="1" t="s">
        <v>18</v>
      </c>
      <c r="C6" s="1" t="s">
        <v>19</v>
      </c>
    </row>
    <row r="7">
      <c r="B7" s="1" t="s">
        <v>20</v>
      </c>
      <c r="C7" s="1" t="s">
        <v>21</v>
      </c>
      <c r="H7" s="1" t="s">
        <v>22</v>
      </c>
    </row>
    <row r="8">
      <c r="A8" s="1" t="s">
        <v>23</v>
      </c>
      <c r="B8" s="1" t="s">
        <v>12</v>
      </c>
      <c r="C8" s="1" t="s">
        <v>13</v>
      </c>
      <c r="H8" s="1" t="s">
        <v>24</v>
      </c>
    </row>
    <row r="9">
      <c r="B9" s="1" t="s">
        <v>25</v>
      </c>
      <c r="C9" s="1" t="s">
        <v>16</v>
      </c>
      <c r="H9" s="1"/>
    </row>
    <row r="10">
      <c r="B10" s="1" t="s">
        <v>20</v>
      </c>
      <c r="C10" s="1" t="s">
        <v>21</v>
      </c>
      <c r="H10" s="1"/>
    </row>
    <row r="11">
      <c r="A11" s="1"/>
      <c r="H11" s="1"/>
    </row>
    <row r="12">
      <c r="A12" s="1"/>
      <c r="B12" s="1"/>
      <c r="C12" s="1"/>
      <c r="H12" s="1"/>
    </row>
    <row r="13">
      <c r="A13" s="1" t="s">
        <v>26</v>
      </c>
      <c r="B13" s="1" t="s">
        <v>27</v>
      </c>
      <c r="C13" s="1" t="s">
        <v>11</v>
      </c>
      <c r="H13" s="1" t="s">
        <v>28</v>
      </c>
    </row>
    <row r="14">
      <c r="C14" s="1" t="s">
        <v>29</v>
      </c>
    </row>
    <row r="16">
      <c r="A16" s="1" t="s">
        <v>30</v>
      </c>
      <c r="B16" s="1" t="s">
        <v>31</v>
      </c>
      <c r="C16" s="1" t="s">
        <v>32</v>
      </c>
    </row>
    <row r="17">
      <c r="C17" s="1" t="s">
        <v>33</v>
      </c>
      <c r="D17" s="1" t="s">
        <v>34</v>
      </c>
      <c r="E17" s="3" t="s">
        <v>35</v>
      </c>
    </row>
    <row r="18">
      <c r="E18" s="4" t="s">
        <v>36</v>
      </c>
    </row>
    <row r="20">
      <c r="A20" s="1" t="s">
        <v>37</v>
      </c>
      <c r="C20" s="2"/>
      <c r="D20" s="3"/>
    </row>
    <row r="21">
      <c r="A21" s="1" t="s">
        <v>38</v>
      </c>
      <c r="B21" s="1" t="s">
        <v>39</v>
      </c>
      <c r="C21" s="2" t="s">
        <v>40</v>
      </c>
      <c r="D21" s="3" t="s">
        <v>10</v>
      </c>
    </row>
    <row r="22">
      <c r="C22" s="1" t="s">
        <v>41</v>
      </c>
      <c r="D22" s="5">
        <f>+20</f>
        <v>20</v>
      </c>
    </row>
    <row r="23">
      <c r="C23" s="1" t="s">
        <v>42</v>
      </c>
      <c r="D23" s="6">
        <f>+15</f>
        <v>15</v>
      </c>
    </row>
    <row r="24">
      <c r="C24" s="1" t="s">
        <v>43</v>
      </c>
      <c r="D24" s="5">
        <f>+10</f>
        <v>10</v>
      </c>
    </row>
    <row r="25">
      <c r="C25" s="1" t="s">
        <v>44</v>
      </c>
      <c r="D25" s="6">
        <f>+5</f>
        <v>5</v>
      </c>
    </row>
    <row r="26">
      <c r="C26" s="1" t="s">
        <v>45</v>
      </c>
      <c r="D26" s="4">
        <v>0.0</v>
      </c>
    </row>
    <row r="27">
      <c r="C27" s="1" t="s">
        <v>46</v>
      </c>
      <c r="D27" s="4">
        <v>0.0</v>
      </c>
    </row>
    <row r="28">
      <c r="D28" s="6"/>
    </row>
    <row r="29">
      <c r="A29" s="1" t="s">
        <v>47</v>
      </c>
      <c r="B29" s="1" t="s">
        <v>48</v>
      </c>
      <c r="C29" s="2" t="s">
        <v>40</v>
      </c>
      <c r="D29" s="3" t="s">
        <v>10</v>
      </c>
    </row>
    <row r="30">
      <c r="C30" s="1" t="s">
        <v>32</v>
      </c>
      <c r="D30" s="6">
        <f>+15</f>
        <v>15</v>
      </c>
    </row>
    <row r="31">
      <c r="C31" s="1" t="s">
        <v>49</v>
      </c>
      <c r="D31" s="5">
        <f>+10</f>
        <v>10</v>
      </c>
    </row>
    <row r="32">
      <c r="C32" s="1" t="s">
        <v>50</v>
      </c>
      <c r="D32" s="6">
        <f>+5</f>
        <v>5</v>
      </c>
    </row>
    <row r="33">
      <c r="C33" s="1" t="s">
        <v>33</v>
      </c>
      <c r="D33" s="4">
        <v>-20.0</v>
      </c>
    </row>
    <row r="34">
      <c r="D34" s="5"/>
    </row>
    <row r="35">
      <c r="A35" s="1" t="s">
        <v>51</v>
      </c>
      <c r="B35" s="1" t="s">
        <v>52</v>
      </c>
      <c r="C35" s="2" t="s">
        <v>40</v>
      </c>
      <c r="D35" s="3" t="s">
        <v>10</v>
      </c>
    </row>
    <row r="36">
      <c r="C36" s="1" t="s">
        <v>53</v>
      </c>
      <c r="D36" s="6">
        <f>+25</f>
        <v>25</v>
      </c>
    </row>
    <row r="37">
      <c r="C37" s="1" t="s">
        <v>54</v>
      </c>
      <c r="D37" s="6">
        <f>+20</f>
        <v>20</v>
      </c>
    </row>
    <row r="38">
      <c r="C38" s="1" t="s">
        <v>55</v>
      </c>
      <c r="D38" s="5">
        <f>+15</f>
        <v>15</v>
      </c>
    </row>
    <row r="39">
      <c r="C39" s="1" t="s">
        <v>56</v>
      </c>
      <c r="D39" s="6">
        <f>+10</f>
        <v>10</v>
      </c>
    </row>
    <row r="40">
      <c r="C40" s="1" t="s">
        <v>57</v>
      </c>
      <c r="D40" s="5">
        <f>+8</f>
        <v>8</v>
      </c>
    </row>
    <row r="41">
      <c r="C41" s="1" t="s">
        <v>58</v>
      </c>
      <c r="D41" s="6">
        <f>+5</f>
        <v>5</v>
      </c>
    </row>
    <row r="42">
      <c r="C42" s="1" t="s">
        <v>59</v>
      </c>
      <c r="D42" s="4">
        <v>-10.0</v>
      </c>
    </row>
    <row r="43">
      <c r="C43" s="1" t="s">
        <v>46</v>
      </c>
      <c r="D43" s="4">
        <v>0.0</v>
      </c>
    </row>
    <row r="44">
      <c r="D44" s="5"/>
    </row>
    <row r="45">
      <c r="A45" s="1" t="s">
        <v>60</v>
      </c>
      <c r="B45" s="1" t="s">
        <v>61</v>
      </c>
      <c r="C45" s="2" t="s">
        <v>40</v>
      </c>
      <c r="D45" s="3" t="s">
        <v>10</v>
      </c>
    </row>
    <row r="46">
      <c r="C46" s="1" t="s">
        <v>62</v>
      </c>
      <c r="D46" s="5">
        <f t="shared" ref="D46:D47" si="1">+10</f>
        <v>10</v>
      </c>
    </row>
    <row r="47">
      <c r="C47" s="1" t="s">
        <v>63</v>
      </c>
      <c r="D47" s="5">
        <f t="shared" si="1"/>
        <v>10</v>
      </c>
    </row>
    <row r="48">
      <c r="C48" s="1" t="s">
        <v>64</v>
      </c>
      <c r="D48" s="5">
        <f>+5</f>
        <v>5</v>
      </c>
    </row>
    <row r="49">
      <c r="C49" s="1" t="s">
        <v>46</v>
      </c>
      <c r="D49" s="4">
        <v>0.0</v>
      </c>
    </row>
    <row r="51">
      <c r="A51" s="1" t="s">
        <v>65</v>
      </c>
      <c r="B51" s="1" t="s">
        <v>66</v>
      </c>
      <c r="C51" s="2" t="s">
        <v>40</v>
      </c>
      <c r="D51" s="3" t="s">
        <v>10</v>
      </c>
    </row>
    <row r="52">
      <c r="C52" s="1" t="s">
        <v>67</v>
      </c>
      <c r="D52" s="6">
        <f t="shared" ref="D52:D54" si="2">+15</f>
        <v>15</v>
      </c>
    </row>
    <row r="53">
      <c r="C53" s="1" t="s">
        <v>68</v>
      </c>
      <c r="D53" s="6">
        <f t="shared" si="2"/>
        <v>15</v>
      </c>
    </row>
    <row r="54">
      <c r="C54" s="1" t="s">
        <v>69</v>
      </c>
      <c r="D54" s="6">
        <f t="shared" si="2"/>
        <v>15</v>
      </c>
    </row>
    <row r="55">
      <c r="C55" s="1" t="s">
        <v>70</v>
      </c>
      <c r="D55" s="5">
        <f>+5</f>
        <v>5</v>
      </c>
    </row>
    <row r="56">
      <c r="C56" s="1" t="s">
        <v>71</v>
      </c>
      <c r="D56" s="4">
        <v>0.0</v>
      </c>
    </row>
    <row r="57">
      <c r="C57" s="1" t="s">
        <v>46</v>
      </c>
      <c r="D57" s="4">
        <v>0.0</v>
      </c>
    </row>
    <row r="58">
      <c r="D58" s="6"/>
    </row>
    <row r="59">
      <c r="A59" s="1" t="s">
        <v>72</v>
      </c>
      <c r="B59" s="1" t="s">
        <v>73</v>
      </c>
      <c r="C59" s="2" t="s">
        <v>40</v>
      </c>
      <c r="D59" s="3" t="s">
        <v>10</v>
      </c>
    </row>
    <row r="60">
      <c r="C60" s="1" t="s">
        <v>74</v>
      </c>
      <c r="D60" s="5">
        <f>+15</f>
        <v>15</v>
      </c>
    </row>
    <row r="61">
      <c r="C61" s="1" t="s">
        <v>75</v>
      </c>
      <c r="D61" s="6">
        <f>+10</f>
        <v>10</v>
      </c>
    </row>
    <row r="62">
      <c r="B62" s="7"/>
      <c r="C62" s="1" t="s">
        <v>76</v>
      </c>
      <c r="D62" s="4">
        <v>0.0</v>
      </c>
    </row>
    <row r="63">
      <c r="C63" s="1" t="s">
        <v>77</v>
      </c>
      <c r="D63" s="4">
        <v>0.0</v>
      </c>
    </row>
    <row r="64">
      <c r="C64" s="1" t="s">
        <v>46</v>
      </c>
      <c r="D64" s="4">
        <v>0.0</v>
      </c>
    </row>
    <row r="65">
      <c r="D65" s="4"/>
    </row>
    <row r="66">
      <c r="A66" s="1" t="s">
        <v>78</v>
      </c>
      <c r="B66" s="1" t="s">
        <v>79</v>
      </c>
      <c r="C66" s="2" t="s">
        <v>40</v>
      </c>
      <c r="D66" s="3" t="s">
        <v>10</v>
      </c>
    </row>
    <row r="67">
      <c r="C67" s="1" t="s">
        <v>33</v>
      </c>
      <c r="D67" s="4">
        <v>20.0</v>
      </c>
    </row>
    <row r="68">
      <c r="C68" s="1" t="s">
        <v>80</v>
      </c>
      <c r="D68" s="4">
        <v>15.0</v>
      </c>
    </row>
    <row r="69">
      <c r="C69" s="1" t="s">
        <v>81</v>
      </c>
      <c r="D69" s="4">
        <v>10.0</v>
      </c>
    </row>
    <row r="70">
      <c r="C70" s="1" t="s">
        <v>82</v>
      </c>
      <c r="D70" s="4">
        <v>-20.0</v>
      </c>
    </row>
    <row r="71">
      <c r="C71" s="1" t="s">
        <v>46</v>
      </c>
      <c r="D71" s="4">
        <v>0.0</v>
      </c>
    </row>
    <row r="73">
      <c r="A73" s="1" t="s">
        <v>83</v>
      </c>
      <c r="B73" s="1" t="s">
        <v>84</v>
      </c>
      <c r="C73" s="2" t="s">
        <v>40</v>
      </c>
      <c r="D73" s="3" t="s">
        <v>10</v>
      </c>
    </row>
    <row r="74">
      <c r="C74" s="1" t="s">
        <v>85</v>
      </c>
      <c r="D74" s="4">
        <v>10.0</v>
      </c>
    </row>
    <row r="75">
      <c r="C75" s="1" t="s">
        <v>86</v>
      </c>
      <c r="D75" s="1">
        <v>5.0</v>
      </c>
    </row>
    <row r="76">
      <c r="C76" s="1" t="s">
        <v>87</v>
      </c>
      <c r="D76" s="4">
        <v>0.0</v>
      </c>
    </row>
  </sheetData>
  <mergeCells count="2">
    <mergeCell ref="A4:A7"/>
    <mergeCell ref="A8:A10"/>
  </mergeCells>
  <drawing r:id="rId1"/>
</worksheet>
</file>